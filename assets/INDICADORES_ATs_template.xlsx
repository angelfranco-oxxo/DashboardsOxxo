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xmlns:r="http://schemas.openxmlformats.org/officeDocument/2006/relationships" name="Resumen Asesor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harset val="1"/>
      <family val="2"/>
      <color theme="1"/>
      <sz val="11"/>
    </font>
    <font>
      <name val="Arial"/>
      <family val="2"/>
      <b val="1"/>
      <i val="1"/>
      <sz val="11"/>
    </font>
    <font>
      <name val="Arial"/>
      <family val="2"/>
      <sz val="11"/>
    </font>
    <font>
      <name val="Arial"/>
      <family val="2"/>
      <b val="1"/>
      <sz val="11"/>
    </font>
    <font>
      <name val="Calibri"/>
      <charset val="1"/>
      <family val="2"/>
      <color theme="1"/>
      <sz val="11"/>
    </font>
    <font>
      <name val="Arial"/>
      <family val="2"/>
      <b val="1"/>
      <color rgb="FF1A1A1A"/>
      <sz val="11"/>
    </font>
    <font>
      <name val="Arial"/>
      <family val="2"/>
      <b val="1"/>
      <i val="1"/>
      <color rgb="FF7F6000"/>
      <sz val="11"/>
    </font>
    <font>
      <name val="Arial"/>
      <family val="2"/>
      <b val="1"/>
      <color rgb="FF7F6000"/>
      <sz val="11"/>
    </font>
    <font>
      <name val="Arial"/>
      <family val="2"/>
      <b val="1"/>
      <color rgb="FFFFFFFF"/>
      <sz val="11"/>
    </font>
    <font>
      <name val="Arial"/>
      <family val="2"/>
      <b val="1"/>
      <color rgb="FFFFFFFF"/>
      <sz val="12"/>
    </font>
    <font>
      <name val="Calibri"/>
      <charset val="1"/>
      <family val="2"/>
      <b val="1"/>
      <color theme="1"/>
      <sz val="11"/>
    </font>
    <font>
      <name val="Calibri"/>
      <charset val="1"/>
      <family val="2"/>
      <i val="1"/>
      <color rgb="FF595959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color rgb="FFFFFFFF"/>
      <sz val="11"/>
    </font>
    <font>
      <name val="Arial"/>
      <family val="2"/>
      <b val="1"/>
      <i val="1"/>
      <color rgb="FF404040"/>
      <sz val="11"/>
    </font>
    <font>
      <name val="Arial"/>
      <family val="2"/>
      <color rgb="FF000000"/>
      <sz val="11"/>
    </font>
  </fonts>
  <fills count="12">
    <fill>
      <patternFill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30613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rgb="FF808080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medium">
        <color rgb="FF808080"/>
      </right>
      <top/>
      <bottom style="thin">
        <color rgb="FFD9D9D9"/>
      </bottom>
      <diagonal/>
    </border>
    <border>
      <left style="medium">
        <color rgb="FF808080"/>
      </left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 style="thin">
        <color rgb="FFD9D9D9"/>
      </left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 style="thin">
        <color rgb="FFD9D9D9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/>
      <top/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medium">
        <color rgb="FF808080"/>
      </top>
      <bottom style="medium">
        <color rgb="FF808080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808080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rgb="FF808080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4" fillId="0" borderId="0"/>
    <xf numFmtId="9" fontId="4" fillId="0" borderId="0"/>
  </cellStyleXfs>
  <cellXfs count="41">
    <xf numFmtId="0" fontId="0" fillId="0" borderId="0" pivotButton="0" quotePrefix="0" xfId="0"/>
    <xf numFmtId="164" fontId="2" fillId="0" borderId="2" applyAlignment="1" pivotButton="0" quotePrefix="0" xfId="1">
      <alignment horizontal="center" vertical="center"/>
    </xf>
    <xf numFmtId="1" fontId="3" fillId="0" borderId="2" applyAlignment="1" pivotButton="0" quotePrefix="0" xfId="0">
      <alignment horizontal="center" vertical="center"/>
    </xf>
    <xf numFmtId="164" fontId="2" fillId="0" borderId="3" applyAlignment="1" pivotButton="0" quotePrefix="0" xfId="1">
      <alignment horizontal="center" vertical="center"/>
    </xf>
    <xf numFmtId="1" fontId="3" fillId="0" borderId="3" applyAlignment="1" pivotButton="0" quotePrefix="0" xfId="0">
      <alignment horizontal="center" vertical="center"/>
    </xf>
    <xf numFmtId="164" fontId="1" fillId="0" borderId="4" applyAlignment="1" pivotButton="0" quotePrefix="0" xfId="1">
      <alignment horizontal="center" vertical="center"/>
    </xf>
    <xf numFmtId="164" fontId="1" fillId="0" borderId="5" applyAlignment="1" pivotButton="0" quotePrefix="0" xfId="1">
      <alignment horizontal="center" vertical="center"/>
    </xf>
    <xf numFmtId="0" fontId="9" fillId="7" borderId="7" applyAlignment="1" pivotButton="0" quotePrefix="0" xfId="0">
      <alignment horizontal="center" vertical="center" wrapText="1"/>
    </xf>
    <xf numFmtId="0" fontId="9" fillId="7" borderId="8" applyAlignment="1" pivotButton="0" quotePrefix="0" xfId="0">
      <alignment horizontal="center" vertical="center" wrapText="1"/>
    </xf>
    <xf numFmtId="0" fontId="9" fillId="7" borderId="9" applyAlignment="1" pivotButton="0" quotePrefix="0" xfId="0">
      <alignment horizontal="center" vertical="center" wrapText="1"/>
    </xf>
    <xf numFmtId="0" fontId="5" fillId="5" borderId="10" applyAlignment="1" pivotButton="0" quotePrefix="0" xfId="0">
      <alignment horizontal="left" vertical="center" indent="1"/>
    </xf>
    <xf numFmtId="0" fontId="5" fillId="5" borderId="11" applyAlignment="1" pivotButton="0" quotePrefix="0" xfId="0">
      <alignment horizontal="left" vertical="center" indent="1"/>
    </xf>
    <xf numFmtId="0" fontId="9" fillId="7" borderId="12" applyAlignment="1" pivotButton="0" quotePrefix="0" xfId="0">
      <alignment horizontal="center" vertical="center" wrapText="1"/>
    </xf>
    <xf numFmtId="164" fontId="1" fillId="0" borderId="13" applyAlignment="1" pivotButton="0" quotePrefix="0" xfId="1">
      <alignment horizontal="center" vertical="center"/>
    </xf>
    <xf numFmtId="164" fontId="2" fillId="0" borderId="14" applyAlignment="1" pivotButton="0" quotePrefix="0" xfId="1">
      <alignment horizontal="center" vertical="center"/>
    </xf>
    <xf numFmtId="1" fontId="3" fillId="0" borderId="14" applyAlignment="1" pivotButton="0" quotePrefix="0" xfId="0">
      <alignment horizontal="center" vertical="center"/>
    </xf>
    <xf numFmtId="164" fontId="6" fillId="6" borderId="5" applyAlignment="1" pivotButton="0" quotePrefix="0" xfId="1">
      <alignment horizontal="center" vertical="center"/>
    </xf>
    <xf numFmtId="164" fontId="7" fillId="6" borderId="3" applyAlignment="1" pivotButton="0" quotePrefix="0" xfId="1">
      <alignment horizontal="center" vertical="center"/>
    </xf>
    <xf numFmtId="1" fontId="7" fillId="6" borderId="3" applyAlignment="1" pivotButton="0" quotePrefix="0" xfId="1">
      <alignment horizontal="center" vertical="center"/>
    </xf>
    <xf numFmtId="0" fontId="11" fillId="0" borderId="0" applyAlignment="1" pivotButton="0" quotePrefix="0" xfId="0">
      <alignment horizontal="center"/>
    </xf>
    <xf numFmtId="164" fontId="7" fillId="6" borderId="16" applyAlignment="1" pivotButton="0" quotePrefix="0" xfId="1">
      <alignment horizontal="center" vertical="center"/>
    </xf>
    <xf numFmtId="164" fontId="2" fillId="0" borderId="17" applyAlignment="1" pivotButton="0" quotePrefix="0" xfId="1">
      <alignment horizontal="center" vertical="center"/>
    </xf>
    <xf numFmtId="164" fontId="2" fillId="0" borderId="18" applyAlignment="1" pivotButton="0" quotePrefix="0" xfId="1">
      <alignment horizontal="center" vertical="center"/>
    </xf>
    <xf numFmtId="164" fontId="2" fillId="0" borderId="16" applyAlignment="1" pivotButton="0" quotePrefix="0" xfId="1">
      <alignment horizontal="center" vertical="center"/>
    </xf>
    <xf numFmtId="0" fontId="2" fillId="0" borderId="19" pivotButton="0" quotePrefix="0" xfId="0"/>
    <xf numFmtId="0" fontId="8" fillId="8" borderId="6" applyAlignment="1" pivotButton="0" quotePrefix="0" xfId="0">
      <alignment horizontal="left" vertical="center" indent="1"/>
    </xf>
    <xf numFmtId="0" fontId="0" fillId="8" borderId="7" pivotButton="0" quotePrefix="0" xfId="0"/>
    <xf numFmtId="164" fontId="10" fillId="0" borderId="7" applyAlignment="1" pivotButton="0" quotePrefix="0" xfId="0">
      <alignment horizontal="center" vertical="center"/>
    </xf>
    <xf numFmtId="164" fontId="10" fillId="0" borderId="8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left" vertical="center" indent="1"/>
    </xf>
    <xf numFmtId="0" fontId="15" fillId="0" borderId="0" pivotButton="0" quotePrefix="0" xfId="0"/>
    <xf numFmtId="0" fontId="15" fillId="0" borderId="20" pivotButton="0" quotePrefix="0" xfId="0"/>
    <xf numFmtId="0" fontId="2" fillId="2" borderId="20" pivotButton="0" quotePrefix="0" xfId="0"/>
    <xf numFmtId="0" fontId="0" fillId="3" borderId="20" pivotButton="0" quotePrefix="0" xfId="0"/>
    <xf numFmtId="0" fontId="0" fillId="4" borderId="1" pivotButton="0" quotePrefix="0" xfId="0"/>
    <xf numFmtId="0" fontId="0" fillId="2" borderId="20" pivotButton="0" quotePrefix="0" xfId="0"/>
    <xf numFmtId="0" fontId="16" fillId="0" borderId="0" applyAlignment="1" pivotButton="0" quotePrefix="0" xfId="0">
      <alignment horizontal="left" vertical="center"/>
    </xf>
    <xf numFmtId="0" fontId="5" fillId="10" borderId="11" applyAlignment="1" pivotButton="0" quotePrefix="0" xfId="0">
      <alignment horizontal="left" vertical="center" indent="1"/>
    </xf>
    <xf numFmtId="0" fontId="5" fillId="10" borderId="15" applyAlignment="1" pivotButton="0" quotePrefix="0" xfId="0">
      <alignment horizontal="left" vertical="center" indent="1"/>
    </xf>
    <xf numFmtId="0" fontId="5" fillId="11" borderId="11" applyAlignment="1" pivotButton="0" quotePrefix="0" xfId="0">
      <alignment horizontal="left" vertical="center" indent="1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65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E30613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Carbajal Herrera Cristian Giovani</author>
  </authors>
  <commentList>
    <comment ref="O1" authorId="0" shapeId="0">
      <text>
        <t>Carbajal Herrera Cristian Giovani:
Sentido de cada indicador respecto a su meta. Usado por la fila '% Apego'. Mayor = mayor es mejor; Menor = menor es mejor.</t>
      </text>
    </comment>
    <comment ref="A12" authorId="0" shapeId="0">
      <text>
        <t>Carbajal Herrera Cristian Giovani:
% de indicadores en los que el asesor cumple la meta. 'Cumple' depende del sentido (columna O): 'Mayor' = valor &gt;= meta; 'Menor' = valor &lt;= meta. Las celdas no numéricas (NA, texto) se excluyen del cálculo. Semáforo: verde &gt;=80%, amarillo 60-79%, rojo &lt;60%.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2"/>
  <sheetViews>
    <sheetView tabSelected="1"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2" sqref="C12"/>
    </sheetView>
  </sheetViews>
  <sheetFormatPr baseColWidth="10" defaultColWidth="8.5703125" defaultRowHeight="15"/>
  <cols>
    <col width="34.7109375" bestFit="1" customWidth="1" min="1" max="1"/>
    <col width="18.140625" bestFit="1" customWidth="1" min="2" max="2"/>
    <col width="7.42578125" bestFit="1" customWidth="1" min="3" max="3"/>
    <col width="10.140625" bestFit="1" customWidth="1" min="4" max="4"/>
    <col width="9.85546875" bestFit="1" customWidth="1" min="5" max="5"/>
    <col width="8.5703125" bestFit="1" customWidth="1" min="6" max="6"/>
    <col width="8.42578125" bestFit="1" customWidth="1" min="7" max="7"/>
    <col width="7.5703125" bestFit="1" customWidth="1" min="8" max="8"/>
    <col width="10.28515625" bestFit="1" customWidth="1" min="9" max="9"/>
    <col width="8" bestFit="1" customWidth="1" min="10" max="11"/>
    <col width="7.42578125" bestFit="1" customWidth="1" min="12" max="12"/>
    <col width="9" bestFit="1" customWidth="1" min="13" max="13"/>
    <col width="15.5703125" bestFit="1" customWidth="1" min="15" max="15"/>
  </cols>
  <sheetData>
    <row r="1" ht="26.1" customHeight="1" thickBot="1">
      <c r="A1" s="9" t="inlineStr">
        <is>
          <t>Indicador</t>
        </is>
      </c>
      <c r="B1" s="8" t="inlineStr">
        <is>
          <t>META</t>
        </is>
      </c>
      <c r="C1" s="12" t="inlineStr">
        <is>
          <t xml:space="preserve">Mirna </t>
        </is>
      </c>
      <c r="D1" s="7" t="inlineStr">
        <is>
          <t xml:space="preserve">Timoteo </t>
        </is>
      </c>
      <c r="E1" s="7" t="inlineStr">
        <is>
          <t>Ernesto</t>
        </is>
      </c>
      <c r="F1" s="7" t="inlineStr">
        <is>
          <t xml:space="preserve">Héctor </t>
        </is>
      </c>
      <c r="G1" s="7" t="inlineStr">
        <is>
          <t>Adrian</t>
        </is>
      </c>
      <c r="H1" s="7" t="inlineStr">
        <is>
          <t xml:space="preserve">Laura </t>
        </is>
      </c>
      <c r="I1" s="7" t="inlineStr">
        <is>
          <t xml:space="preserve">Marisela </t>
        </is>
      </c>
      <c r="J1" s="7" t="inlineStr">
        <is>
          <t xml:space="preserve">Alicia </t>
        </is>
      </c>
      <c r="K1" s="7" t="inlineStr">
        <is>
          <t>Sofia</t>
        </is>
      </c>
      <c r="L1" s="7" t="inlineStr">
        <is>
          <t xml:space="preserve">Luis </t>
        </is>
      </c>
      <c r="M1" s="8" t="inlineStr">
        <is>
          <t xml:space="preserve">Jordan </t>
        </is>
      </c>
      <c r="O1" s="29" t="inlineStr">
        <is>
          <t>Sentido meta</t>
        </is>
      </c>
    </row>
    <row r="2" ht="20.1" customHeight="1">
      <c r="A2" s="10" t="inlineStr">
        <is>
          <t>Aprovechamiento de estructura</t>
        </is>
      </c>
      <c r="B2" s="16" t="n">
        <v>0.9</v>
      </c>
      <c r="C2" s="13" t="n">
        <v>0.6786</v>
      </c>
      <c r="D2" s="5" t="n">
        <v>0</v>
      </c>
      <c r="E2" s="5" t="n">
        <v>0.8636</v>
      </c>
      <c r="F2" s="5" t="n">
        <v>0.7826</v>
      </c>
      <c r="G2" s="5" t="n">
        <v>0.88</v>
      </c>
      <c r="H2" s="5" t="n">
        <v>0.8235</v>
      </c>
      <c r="I2" s="5" t="n">
        <v>0.6786</v>
      </c>
      <c r="J2" s="5" t="n">
        <v>0.8095</v>
      </c>
      <c r="K2" s="5" t="n">
        <v>0.8</v>
      </c>
      <c r="L2" s="5" t="n">
        <v>0.6087</v>
      </c>
      <c r="M2" s="6" t="n">
        <v>0.8571</v>
      </c>
      <c r="O2" s="19" t="inlineStr">
        <is>
          <t>Mayor</t>
        </is>
      </c>
    </row>
    <row r="3" ht="20.1" customHeight="1">
      <c r="A3" s="38" t="inlineStr">
        <is>
          <t>NPS</t>
        </is>
      </c>
      <c r="B3" s="17" t="n">
        <v>0.775</v>
      </c>
      <c r="C3" s="14" t="n">
        <v>0.792</v>
      </c>
      <c r="D3" s="1" t="n">
        <v>0.614</v>
      </c>
      <c r="E3" s="1" t="n">
        <v>0.679</v>
      </c>
      <c r="F3" s="1" t="n">
        <v>0.659</v>
      </c>
      <c r="G3" s="1" t="n">
        <v>0.578</v>
      </c>
      <c r="H3" s="1" t="n">
        <v>0.659</v>
      </c>
      <c r="I3" s="1" t="n">
        <v>0.779</v>
      </c>
      <c r="J3" s="1" t="n">
        <v>0.822</v>
      </c>
      <c r="K3" s="1" t="n">
        <v>0.5</v>
      </c>
      <c r="L3" s="1" t="inlineStr">
        <is>
          <t>NA</t>
        </is>
      </c>
      <c r="M3" s="3" t="inlineStr">
        <is>
          <t>NA</t>
        </is>
      </c>
      <c r="O3" s="19" t="inlineStr">
        <is>
          <t>Mayor</t>
        </is>
      </c>
    </row>
    <row r="4" ht="20.1" customHeight="1">
      <c r="A4" s="11" t="inlineStr">
        <is>
          <t>Ausentismo</t>
        </is>
      </c>
      <c r="B4" s="17" t="n">
        <v>0.002</v>
      </c>
      <c r="C4" s="14" t="n">
        <v>0.003</v>
      </c>
      <c r="D4" s="1" t="n">
        <v>0.003</v>
      </c>
      <c r="E4" s="1" t="n">
        <v>0.002</v>
      </c>
      <c r="F4" s="1" t="n">
        <v>0.002</v>
      </c>
      <c r="G4" s="1" t="n">
        <v>0.003</v>
      </c>
      <c r="H4" s="1" t="n">
        <v>0.002</v>
      </c>
      <c r="I4" s="1" t="n">
        <v>0.005</v>
      </c>
      <c r="J4" s="1" t="n">
        <v>0.002</v>
      </c>
      <c r="K4" s="1" t="n">
        <v>0.002</v>
      </c>
      <c r="L4" s="1" t="n">
        <v>0.001</v>
      </c>
      <c r="M4" s="3" t="n">
        <v>0.001</v>
      </c>
      <c r="O4" s="19" t="inlineStr">
        <is>
          <t>Menor</t>
        </is>
      </c>
    </row>
    <row r="5" ht="20.1" customHeight="1">
      <c r="A5" s="40" t="inlineStr">
        <is>
          <t>Vacantes en estructura</t>
        </is>
      </c>
      <c r="B5" s="18" t="n">
        <v>3</v>
      </c>
      <c r="C5" s="15" t="n">
        <v>3</v>
      </c>
      <c r="D5" s="2" t="n">
        <v>0</v>
      </c>
      <c r="E5" s="2" t="n">
        <v>3</v>
      </c>
      <c r="F5" s="2" t="n">
        <v>8</v>
      </c>
      <c r="G5" s="2" t="n">
        <v>2</v>
      </c>
      <c r="H5" s="2" t="n">
        <v>15</v>
      </c>
      <c r="I5" s="2" t="n">
        <v>15</v>
      </c>
      <c r="J5" s="2" t="n">
        <v>4</v>
      </c>
      <c r="K5" s="2" t="n">
        <v>3</v>
      </c>
      <c r="L5" s="2" t="n">
        <v>2</v>
      </c>
      <c r="M5" s="4" t="n">
        <v>9</v>
      </c>
      <c r="O5" s="19" t="inlineStr">
        <is>
          <t>Menor</t>
        </is>
      </c>
    </row>
    <row r="6" ht="20.1" customHeight="1">
      <c r="A6" s="11" t="inlineStr">
        <is>
          <t>Rotación de equipo</t>
        </is>
      </c>
      <c r="B6" s="17" t="n">
        <v>0.655</v>
      </c>
      <c r="C6" s="14" t="n">
        <v>0.66</v>
      </c>
      <c r="D6" s="1" t="n">
        <v>0.806</v>
      </c>
      <c r="E6" s="1" t="n">
        <v>0.425</v>
      </c>
      <c r="F6" s="1" t="n">
        <v>0.8120000000000001</v>
      </c>
      <c r="G6" s="1" t="n">
        <v>0.453</v>
      </c>
      <c r="H6" s="1" t="n">
        <v>0.532</v>
      </c>
      <c r="I6" s="1" t="n">
        <v>0.839</v>
      </c>
      <c r="J6" s="1" t="n">
        <v>0.884</v>
      </c>
      <c r="K6" s="1" t="n">
        <v>0.714</v>
      </c>
      <c r="L6" s="1" t="n">
        <v>0.103</v>
      </c>
      <c r="M6" s="3" t="n">
        <v>0.217</v>
      </c>
      <c r="O6" s="19" t="inlineStr">
        <is>
          <t>Menor</t>
        </is>
      </c>
    </row>
    <row r="7" ht="20.1" customHeight="1">
      <c r="A7" s="11" t="inlineStr">
        <is>
          <t>Rotación temprana</t>
        </is>
      </c>
      <c r="B7" s="17" t="n">
        <v>0.135</v>
      </c>
      <c r="C7" s="14" t="n">
        <v>0.135</v>
      </c>
      <c r="D7" s="1" t="n">
        <v>0.224</v>
      </c>
      <c r="E7" s="1" t="n">
        <v>0.029</v>
      </c>
      <c r="F7" s="1" t="n">
        <v>0.08500000000000001</v>
      </c>
      <c r="G7" s="1" t="n">
        <v>0.041</v>
      </c>
      <c r="H7" s="1" t="n">
        <v>0.099</v>
      </c>
      <c r="I7" s="1" t="n">
        <v>0.154</v>
      </c>
      <c r="J7" s="1" t="n">
        <v>0.21</v>
      </c>
      <c r="K7" s="1" t="n">
        <v>0.203</v>
      </c>
      <c r="L7" s="1" t="n">
        <v>0</v>
      </c>
      <c r="M7" s="3" t="n">
        <v>0.043</v>
      </c>
      <c r="O7" s="19" t="inlineStr">
        <is>
          <t>Menor</t>
        </is>
      </c>
    </row>
    <row r="8" ht="20.1" customHeight="1">
      <c r="A8" s="11" t="inlineStr">
        <is>
          <t>Rotación Lider</t>
        </is>
      </c>
      <c r="B8" s="17" t="n">
        <v>0.076</v>
      </c>
      <c r="C8" s="14" t="n">
        <v>0.111</v>
      </c>
      <c r="D8" s="1" t="n">
        <v>0.049</v>
      </c>
      <c r="E8" s="1" t="n">
        <v>0.119</v>
      </c>
      <c r="F8" s="1" t="n">
        <v>0.175</v>
      </c>
      <c r="G8" s="1" t="n">
        <v>0</v>
      </c>
      <c r="H8" s="1" t="n">
        <v>0.046</v>
      </c>
      <c r="I8" s="1" t="n">
        <v>0.116</v>
      </c>
      <c r="J8" s="1" t="n">
        <v>0.144</v>
      </c>
      <c r="K8" s="1" t="n">
        <v>0</v>
      </c>
      <c r="L8" s="1" t="n">
        <v>0</v>
      </c>
      <c r="M8" s="3" t="n">
        <v>0.075</v>
      </c>
      <c r="O8" s="19" t="inlineStr">
        <is>
          <t>Menor</t>
        </is>
      </c>
    </row>
    <row r="9" ht="20.1" customHeight="1">
      <c r="A9" s="11" t="inlineStr">
        <is>
          <t>Rotación Encargado</t>
        </is>
      </c>
      <c r="B9" s="17" t="n">
        <v>0.352</v>
      </c>
      <c r="C9" s="14" t="n">
        <v>0.39</v>
      </c>
      <c r="D9" s="1" t="n">
        <v>0.376</v>
      </c>
      <c r="E9" s="1" t="n">
        <v>0.267</v>
      </c>
      <c r="F9" s="1" t="n">
        <v>0</v>
      </c>
      <c r="G9" s="1" t="n">
        <v>0.164</v>
      </c>
      <c r="H9" s="1" t="n">
        <v>0.335</v>
      </c>
      <c r="I9" s="1" t="n">
        <v>0</v>
      </c>
      <c r="J9" s="1" t="n">
        <v>0.348</v>
      </c>
      <c r="K9" s="1" t="n">
        <v>0.39</v>
      </c>
      <c r="L9" s="1" t="n">
        <v>0.105</v>
      </c>
      <c r="M9" s="3" t="n">
        <v>0.161</v>
      </c>
      <c r="O9" s="19" t="inlineStr">
        <is>
          <t>Menor</t>
        </is>
      </c>
    </row>
    <row r="10" ht="20.1" customHeight="1">
      <c r="A10" s="11" t="inlineStr">
        <is>
          <t>Rotación Ayudante</t>
        </is>
      </c>
      <c r="B10" s="17" t="n">
        <v>0.978</v>
      </c>
      <c r="C10" s="14" t="n">
        <v>0.957</v>
      </c>
      <c r="D10" s="1" t="n">
        <v>1.205</v>
      </c>
      <c r="E10" s="1" t="n">
        <v>0.6</v>
      </c>
      <c r="F10" s="1" t="n">
        <v>1.149</v>
      </c>
      <c r="G10" s="1" t="n">
        <v>0.718</v>
      </c>
      <c r="H10" s="1" t="n">
        <v>0.77</v>
      </c>
      <c r="I10" s="1" t="n">
        <v>1.158</v>
      </c>
      <c r="J10" s="1" t="n">
        <v>0</v>
      </c>
      <c r="K10" s="1" t="n">
        <v>1.111</v>
      </c>
      <c r="L10" s="1" t="n">
        <v>0.132</v>
      </c>
      <c r="M10" s="3" t="n">
        <v>0.291</v>
      </c>
      <c r="O10" s="19" t="inlineStr">
        <is>
          <t>Menor</t>
        </is>
      </c>
    </row>
    <row r="11" ht="20.1" customHeight="1" thickBot="1">
      <c r="A11" s="39" t="inlineStr">
        <is>
          <t>Alineación de estructura</t>
        </is>
      </c>
      <c r="B11" s="20" t="n">
        <v>0.9</v>
      </c>
      <c r="C11" s="21" t="n">
        <v>0.75</v>
      </c>
      <c r="D11" s="22" t="n">
        <v>0.88</v>
      </c>
      <c r="E11" s="22" t="n">
        <v>0.86</v>
      </c>
      <c r="F11" s="22" t="n">
        <v>0.65</v>
      </c>
      <c r="G11" s="22" t="n">
        <v>0.61</v>
      </c>
      <c r="H11" s="22" t="n">
        <v>0.64</v>
      </c>
      <c r="I11" s="22" t="n">
        <v>0.85</v>
      </c>
      <c r="J11" s="22" t="n">
        <v>0.76</v>
      </c>
      <c r="K11" s="22" t="n">
        <v>0.92</v>
      </c>
      <c r="L11" s="22" t="n">
        <v>0.65</v>
      </c>
      <c r="M11" s="23" t="n">
        <v>0.71</v>
      </c>
      <c r="O11" s="19" t="inlineStr">
        <is>
          <t>Mayor</t>
        </is>
      </c>
    </row>
    <row r="12" ht="21.95" customHeight="1" thickBot="1">
      <c r="A12" s="25" t="inlineStr">
        <is>
          <t>% Apego a indicadores</t>
        </is>
      </c>
      <c r="B12" s="26" t="n"/>
      <c r="C12" s="27">
        <f t="array" ref="C12">SUMPRODUCT((ISNUMBER(C2:C11))*(($O$2:$O$11="Mayor")*(C2:C11&gt;=$B$2:$B$11)+($O$2:$O$11="Menor")*(C2:C11&lt;=$B$2:$B$11)))/SUMPRODUCT(--ISNUMBER(C2:C11))</f>
        <v/>
      </c>
      <c r="D12" s="27">
        <f t="array" ref="D12">SUMPRODUCT((ISNUMBER(D2:D11))*(($O$2:$O$11="Mayor")*(D2:D11&gt;=$B$2:$B$11)+($O$2:$O$11="Menor")*(D2:D11&lt;=$B$2:$B$11)))/SUMPRODUCT(--ISNUMBER(D2:D11))</f>
        <v/>
      </c>
      <c r="E12" s="27">
        <f t="array" ref="E12">SUMPRODUCT((ISNUMBER(E2:E11))*(($O$2:$O$11="Mayor")*(E2:E11&gt;=$B$2:$B$11)+($O$2:$O$11="Menor")*(E2:E11&lt;=$B$2:$B$11)))/SUMPRODUCT(--ISNUMBER(E2:E11))</f>
        <v/>
      </c>
      <c r="F12" s="27">
        <f t="array" ref="F12">SUMPRODUCT((ISNUMBER(F2:F11))*(($O$2:$O$11="Mayor")*(F2:F11&gt;=$B$2:$B$11)+($O$2:$O$11="Menor")*(F2:F11&lt;=$B$2:$B$11)))/SUMPRODUCT(--ISNUMBER(F2:F11))</f>
        <v/>
      </c>
      <c r="G12" s="27">
        <f t="array" ref="G12">SUMPRODUCT((ISNUMBER(G2:G11))*(($O$2:$O$11="Mayor")*(G2:G11&gt;=$B$2:$B$11)+($O$2:$O$11="Menor")*(G2:G11&lt;=$B$2:$B$11)))/SUMPRODUCT(--ISNUMBER(G2:G11))</f>
        <v/>
      </c>
      <c r="H12" s="27">
        <f t="array" ref="H12">SUMPRODUCT((ISNUMBER(H2:H11))*(($O$2:$O$11="Mayor")*(H2:H11&gt;=$B$2:$B$11)+($O$2:$O$11="Menor")*(H2:H11&lt;=$B$2:$B$11)))/SUMPRODUCT(--ISNUMBER(H2:H11))</f>
        <v/>
      </c>
      <c r="I12" s="27">
        <f t="array" ref="I12">SUMPRODUCT((ISNUMBER(I2:I11))*(($O$2:$O$11="Mayor")*(I2:I11&gt;=$B$2:$B$11)+($O$2:$O$11="Menor")*(I2:I11&lt;=$B$2:$B$11)))/SUMPRODUCT(--ISNUMBER(I2:I11))</f>
        <v/>
      </c>
      <c r="J12" s="27">
        <f t="array" ref="J12">SUMPRODUCT((ISNUMBER(J2:J11))*(($O$2:$O$11="Mayor")*(J2:J11&gt;=$B$2:$B$11)+($O$2:$O$11="Menor")*(J2:J11&lt;=$B$2:$B$11)))/SUMPRODUCT(--ISNUMBER(J2:J11))</f>
        <v/>
      </c>
      <c r="K12" s="27">
        <f t="array" ref="K12">SUMPRODUCT((ISNUMBER(K2:K11))*(($O$2:$O$11="Mayor")*(K2:K11&gt;=$B$2:$B$11)+($O$2:$O$11="Menor")*(K2:K11&lt;=$B$2:$B$11)))/SUMPRODUCT(--ISNUMBER(K2:K11))</f>
        <v/>
      </c>
      <c r="L12" s="27">
        <f t="array" ref="L12">SUMPRODUCT((ISNUMBER(L2:L11))*(($O$2:$O$11="Mayor")*(L2:L11&gt;=$B$2:$B$11)+($O$2:$O$11="Menor")*(L2:L11&lt;=$B$2:$B$11)))/SUMPRODUCT(--ISNUMBER(L2:L11))</f>
        <v/>
      </c>
      <c r="M12" s="28">
        <f t="array" ref="M12">SUMPRODUCT((ISNUMBER(M2:M11))*(($O$2:$O$11="Mayor")*(M2:M11&gt;=$B$2:$B$11)+($O$2:$O$11="Menor")*(M2:M11&lt;=$B$2:$B$11)))/SUMPRODUCT(--ISNUMBER(M2:M11))</f>
        <v/>
      </c>
    </row>
    <row r="13">
      <c r="A13" s="24" t="n"/>
    </row>
    <row r="14">
      <c r="A14" s="30" t="inlineStr">
        <is>
          <t>Sémaforo</t>
        </is>
      </c>
    </row>
    <row r="15">
      <c r="A15" s="32" t="n"/>
    </row>
    <row r="16">
      <c r="A16" s="33" t="n"/>
      <c r="B16" s="37" t="inlineStr">
        <is>
          <t>Cumple la meta</t>
        </is>
      </c>
    </row>
    <row r="17">
      <c r="A17" s="34" t="n"/>
      <c r="B17" s="37" t="inlineStr">
        <is>
          <t>Cerca de cumplir</t>
        </is>
      </c>
    </row>
    <row r="18">
      <c r="A18" s="35" t="n"/>
      <c r="B18" s="37" t="inlineStr">
        <is>
          <t>Fuera de la meta</t>
        </is>
      </c>
    </row>
    <row r="19">
      <c r="A19" s="31" t="inlineStr">
        <is>
          <t>% Apego a indicadores</t>
        </is>
      </c>
      <c r="B19" s="37" t="n"/>
    </row>
    <row r="20">
      <c r="A20" s="36" t="n"/>
      <c r="B20" s="37" t="inlineStr">
        <is>
          <t>Apego ≥ 80%</t>
        </is>
      </c>
    </row>
    <row r="21">
      <c r="A21" s="34" t="n"/>
      <c r="B21" s="37" t="inlineStr">
        <is>
          <t>Apego 60% – 79%</t>
        </is>
      </c>
    </row>
    <row r="22">
      <c r="A22" s="35" t="n"/>
      <c r="B22" s="37" t="inlineStr">
        <is>
          <t>Apego &lt; 60%</t>
        </is>
      </c>
    </row>
  </sheetData>
  <conditionalFormatting sqref="C2:M3">
    <cfRule type="expression" priority="1" dxfId="0">
      <formula>AND(ISNUMBER(C2),C2&gt;=$B2)</formula>
    </cfRule>
    <cfRule type="expression" priority="2" dxfId="2">
      <formula>AND(ISNUMBER(C2),C2&gt;=$B2*0.9,C2&lt;$B2)</formula>
    </cfRule>
    <cfRule type="expression" priority="3" dxfId="1">
      <formula>AND(ISNUMBER(C2),C2&lt;$B2*0.9)</formula>
    </cfRule>
  </conditionalFormatting>
  <conditionalFormatting sqref="C4:M10">
    <cfRule type="expression" priority="7" dxfId="0">
      <formula>AND(ISNUMBER(C4),C4&lt;=$B4)</formula>
    </cfRule>
    <cfRule type="expression" priority="8" dxfId="2">
      <formula>AND(ISNUMBER(C4),C4&gt;$B4,C4&lt;=$B4*1.1)</formula>
    </cfRule>
    <cfRule type="expression" priority="9" dxfId="1">
      <formula>AND(ISNUMBER(C4),C4&gt;$B4*1.1)</formula>
    </cfRule>
  </conditionalFormatting>
  <conditionalFormatting sqref="C11:M11">
    <cfRule type="expression" priority="28" dxfId="0">
      <formula>AND(ISNUMBER(C11),C11&gt;=$B11)</formula>
    </cfRule>
    <cfRule type="expression" priority="30" dxfId="1">
      <formula>AND(ISNUMBER(C11),C11&lt;$B11*0.9)</formula>
    </cfRule>
    <cfRule type="expression" priority="29" dxfId="2">
      <formula>AND(ISNUMBER(C11),C11&gt;=$B11*0.9,C11&lt;$B11)</formula>
    </cfRule>
  </conditionalFormatting>
  <conditionalFormatting sqref="C12:M12">
    <cfRule type="expression" priority="32" dxfId="2">
      <formula>AND(C12&gt;=0.6,C12&lt;0.8)</formula>
    </cfRule>
    <cfRule type="expression" priority="33" dxfId="1">
      <formula>C12&lt;0.6</formula>
    </cfRule>
    <cfRule type="expression" priority="31" dxfId="0">
      <formula>C12&gt;=0.8</formula>
    </cfRule>
  </conditionalFormatting>
  <pageMargins left="0.75" right="0.75" top="1" bottom="1" header="0.511811023622047" footer="0.511811023622047"/>
  <pageSetup orientation="portrait" paperSize="9" horizontalDpi="300" verticalDpi="300"/>
  <headerFooter>
    <oddHeader/>
    <oddFooter>&amp;C&amp;"Aptos"&amp;10 &amp;K000000_x000d_# OXXO | Uso Interno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2026-07-11T17:23:56Z</dcterms:created>
  <dcterms:modified xmlns:dcterms="http://purl.org/dc/terms/" xmlns:xsi="http://www.w3.org/2001/XMLSchema-instance" xsi:type="dcterms:W3CDTF">2026-07-31T19:24:45Z</dcterms:modified>
  <cp:lastModifiedBy>Angel de Jesus Franco Gijon</cp:lastModifiedBy>
  <cp:revision>0</cp:revision>
</cp:coreProperties>
</file>