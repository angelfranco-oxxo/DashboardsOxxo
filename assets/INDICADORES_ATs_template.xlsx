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5843652\Downloads\"/>
    </mc:Choice>
  </mc:AlternateContent>
  <xr:revisionPtr revIDLastSave="0" documentId="13_ncr:1_{9717B8BF-5EED-4E84-B91C-B28D19FB671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esumen Ases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 a="1"/>
  <c r="C12" i="1" s="1"/>
  <c r="M12" i="1" a="1"/>
  <c r="M12" i="1" s="1"/>
  <c r="L12" i="1" a="1"/>
  <c r="L12" i="1" s="1"/>
  <c r="K12" i="1" a="1"/>
  <c r="K12" i="1" s="1"/>
  <c r="J12" i="1" a="1"/>
  <c r="J12" i="1" s="1"/>
  <c r="I12" i="1" a="1"/>
  <c r="I12" i="1" s="1"/>
  <c r="H12" i="1" a="1"/>
  <c r="H12" i="1" s="1"/>
  <c r="G12" i="1" a="1"/>
  <c r="G12" i="1" s="1"/>
  <c r="F12" i="1" a="1"/>
  <c r="F12" i="1" s="1"/>
  <c r="E12" i="1" a="1"/>
  <c r="E12" i="1" s="1"/>
  <c r="D12" i="1" a="1"/>
  <c r="D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Carbajal Herrera Cristian Giovani</author>
  </authors>
  <commentList>
    <comment ref="O1" authorId="0" shapeId="0" xr:uid="{F0658BBD-1CBF-4E31-B734-3D171D8ADDC1}">
      <text>
        <r>
          <rPr>
            <b/>
            <sz val="9"/>
            <color indexed="81"/>
            <rFont val="Tahoma"/>
            <family val="2"/>
          </rPr>
          <t>Carbajal Herrera Cristian Giovani:</t>
        </r>
        <r>
          <rPr>
            <sz val="9"/>
            <color indexed="81"/>
            <rFont val="Tahoma"/>
            <family val="2"/>
          </rPr>
          <t xml:space="preserve">
Sentido de cada indicador respecto a su meta. Usado por la fila '% Apego'. Mayor = mayor es mejor; Menor = menor es mejor.</t>
        </r>
      </text>
    </comment>
    <comment ref="A12" authorId="0" shapeId="0" xr:uid="{1287F8EB-26B8-4A23-8E63-FC6BF24740DF}">
      <text>
        <r>
          <rPr>
            <b/>
            <sz val="9"/>
            <color indexed="81"/>
            <rFont val="Tahoma"/>
            <family val="2"/>
          </rPr>
          <t>Carbajal Herrera Cristian Giovani:</t>
        </r>
        <r>
          <rPr>
            <sz val="9"/>
            <color indexed="81"/>
            <rFont val="Tahoma"/>
            <family val="2"/>
          </rPr>
          <t xml:space="preserve">
% de indicadores en los que el asesor cumple la meta. 'Cumple' depende del sentido (columna O): 'Mayor' = valor &gt;= meta; 'Menor' = valor &lt;= meta. Las celdas no numéricas (NA, texto) se excluyen del cálculo. Semáforo: verde &gt;=80%, amarillo 60-79%, rojo &lt;60%.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<sst xmlns="http://schemas.openxmlformats.org/spreadsheetml/2006/main" count="45" uniqueCount="35">
  <si>
    <t>Indicador</t>
  </si>
  <si>
    <t>Aprovechamiento de estructura</t>
  </si>
  <si>
    <t>META</t>
  </si>
  <si>
    <t>NPS</t>
  </si>
  <si>
    <t>Ausentismo</t>
  </si>
  <si>
    <t>Rotación temprana</t>
  </si>
  <si>
    <t>Alineación de estructura</t>
  </si>
  <si>
    <t>NA</t>
  </si>
  <si>
    <t>Rotación Ayudante</t>
  </si>
  <si>
    <t>Rotación de equipo</t>
  </si>
  <si>
    <t>Rotación Encargado</t>
  </si>
  <si>
    <t>Rotación Lider</t>
  </si>
  <si>
    <t>Vacantes en estructura</t>
  </si>
  <si>
    <t xml:space="preserve">Mirna </t>
  </si>
  <si>
    <t xml:space="preserve">Timoteo </t>
  </si>
  <si>
    <t>Ernesto</t>
  </si>
  <si>
    <t xml:space="preserve">Héctor </t>
  </si>
  <si>
    <t>Adrian</t>
  </si>
  <si>
    <t xml:space="preserve">Laura </t>
  </si>
  <si>
    <t xml:space="preserve">Marisela </t>
  </si>
  <si>
    <t xml:space="preserve">Alicia </t>
  </si>
  <si>
    <t>Sofia</t>
  </si>
  <si>
    <t xml:space="preserve">Luis </t>
  </si>
  <si>
    <t xml:space="preserve">Jordan </t>
  </si>
  <si>
    <t>Sentido meta</t>
  </si>
  <si>
    <t>Mayor</t>
  </si>
  <si>
    <t>Menor</t>
  </si>
  <si>
    <t>% Apego a indicadores</t>
  </si>
  <si>
    <t>Cumple la meta</t>
  </si>
  <si>
    <t>Fuera de la meta</t>
  </si>
  <si>
    <t>Apego ≥ 80%</t>
  </si>
  <si>
    <t>Apego 60% – 79%</t>
  </si>
  <si>
    <t>Apego &lt; 60%</t>
  </si>
  <si>
    <t>Cerca de cumplir</t>
  </si>
  <si>
    <t>Sémaforo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</si>
</sst>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charset val="1"/>
    </font>
    <font>
      <b/>
      <i/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charset val="1"/>
    </font>
    <font>
      <b/>
      <sz val="11"/>
      <color rgb="FF1A1A1A"/>
      <name val="Arial"/>
      <family val="2"/>
    </font>
    <font>
      <b/>
      <i/>
      <sz val="11"/>
      <color rgb="FF7F6000"/>
      <name val="Arial"/>
      <family val="2"/>
    </font>
    <font>
      <b/>
      <sz val="11"/>
      <color rgb="FF7F6000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theme="1"/>
      <name val="Calibri"/>
      <family val="2"/>
      <charset val="1"/>
    </font>
    <font>
      <i/>
      <sz val="9"/>
      <color rgb="FF595959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FFFF"/>
      <name val="Arial"/>
      <family val="2"/>
    </font>
    <font>
      <b/>
      <i/>
      <sz val="11"/>
      <color rgb="FF404040"/>
      <name val="Arial"/>
      <family val="2"/>
    </font>
    <font>
      <sz val="11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30613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808080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rgb="FF808080"/>
      </right>
      <top/>
      <bottom style="thin">
        <color rgb="FFD9D9D9"/>
      </bottom>
      <diagonal/>
    </border>
    <border>
      <left style="medium">
        <color rgb="FF808080"/>
      </left>
      <right style="thin">
        <color rgb="FFD9D9D9"/>
      </right>
      <top style="medium">
        <color rgb="FF808080"/>
      </top>
      <bottom style="medium">
        <color rgb="FF808080"/>
      </bottom>
      <diagonal/>
    </border>
    <border>
      <left style="thin">
        <color rgb="FFD9D9D9"/>
      </left>
      <right style="thin">
        <color rgb="FFD9D9D9"/>
      </right>
      <top style="medium">
        <color rgb="FF808080"/>
      </top>
      <bottom style="medium">
        <color rgb="FF808080"/>
      </bottom>
      <diagonal/>
    </border>
    <border>
      <left style="thin">
        <color rgb="FFD9D9D9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/>
      <top/>
      <bottom style="thin">
        <color rgb="FFD9D9D9"/>
      </bottom>
      <diagonal/>
    </border>
    <border>
      <left style="medium">
        <color rgb="FF808080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medium">
        <color rgb="FF808080"/>
      </top>
      <bottom style="medium">
        <color rgb="FF808080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808080"/>
      </left>
      <right/>
      <top style="thin">
        <color rgb="FFD9D9D9"/>
      </top>
      <bottom/>
      <diagonal/>
    </border>
    <border>
      <left style="thin">
        <color rgb="FFD9D9D9"/>
      </left>
      <right style="medium">
        <color rgb="FF808080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1">
    <xf numFmtId="0" fontId="0" fillId="0" borderId="0" xfId="0"/>
    <xf numFmtId="164" fontId="2" fillId="0" borderId="2" xfId="1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64" fontId="2" fillId="0" borderId="3" xfId="1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 vertical="center"/>
    </xf>
    <xf numFmtId="164" fontId="1" fillId="0" borderId="5" xfId="1" applyNumberFormat="1" applyFont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left" vertical="center" indent="1"/>
    </xf>
    <xf numFmtId="0" fontId="5" fillId="5" borderId="11" xfId="0" applyFont="1" applyFill="1" applyBorder="1" applyAlignment="1">
      <alignment horizontal="left" vertical="center" indent="1"/>
    </xf>
    <xf numFmtId="0" fontId="9" fillId="7" borderId="12" xfId="0" applyFont="1" applyFill="1" applyBorder="1" applyAlignment="1">
      <alignment horizontal="center" vertical="center" wrapText="1"/>
    </xf>
    <xf numFmtId="164" fontId="1" fillId="0" borderId="13" xfId="1" applyNumberFormat="1" applyFont="1" applyBorder="1" applyAlignment="1">
      <alignment horizontal="center" vertical="center"/>
    </xf>
    <xf numFmtId="164" fontId="2" fillId="0" borderId="14" xfId="1" applyNumberFormat="1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164" fontId="6" fillId="6" borderId="5" xfId="1" applyNumberFormat="1" applyFont="1" applyFill="1" applyBorder="1" applyAlignment="1">
      <alignment horizontal="center" vertical="center"/>
    </xf>
    <xf numFmtId="164" fontId="7" fillId="6" borderId="3" xfId="1" applyNumberFormat="1" applyFont="1" applyFill="1" applyBorder="1" applyAlignment="1">
      <alignment horizontal="center" vertical="center"/>
    </xf>
    <xf numFmtId="1" fontId="7" fillId="6" borderId="3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164" fontId="7" fillId="6" borderId="16" xfId="1" applyNumberFormat="1" applyFont="1" applyFill="1" applyBorder="1" applyAlignment="1">
      <alignment horizontal="center" vertical="center"/>
    </xf>
    <xf numFmtId="164" fontId="2" fillId="0" borderId="17" xfId="1" applyNumberFormat="1" applyFont="1" applyBorder="1" applyAlignment="1">
      <alignment horizontal="center" vertical="center"/>
    </xf>
    <xf numFmtId="164" fontId="2" fillId="0" borderId="18" xfId="1" applyNumberFormat="1" applyFont="1" applyBorder="1" applyAlignment="1">
      <alignment horizontal="center" vertical="center"/>
    </xf>
    <xf numFmtId="164" fontId="2" fillId="0" borderId="16" xfId="1" applyNumberFormat="1" applyFont="1" applyBorder="1" applyAlignment="1">
      <alignment horizontal="center" vertical="center"/>
    </xf>
    <xf numFmtId="0" fontId="2" fillId="0" borderId="19" xfId="0" applyFont="1" applyBorder="1"/>
    <xf numFmtId="0" fontId="8" fillId="8" borderId="6" xfId="0" applyFont="1" applyFill="1" applyBorder="1" applyAlignment="1">
      <alignment horizontal="left" vertical="center" indent="1"/>
    </xf>
    <xf numFmtId="0" fontId="0" fillId="8" borderId="7" xfId="0" applyFill="1" applyBorder="1"/>
    <xf numFmtId="164" fontId="10" fillId="0" borderId="7" xfId="0" applyNumberFormat="1" applyFont="1" applyBorder="1" applyAlignment="1">
      <alignment horizontal="center" vertical="center"/>
    </xf>
    <xf numFmtId="164" fontId="10" fillId="0" borderId="8" xfId="0" applyNumberFormat="1" applyFont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left" vertical="center" indent="1"/>
    </xf>
    <xf numFmtId="0" fontId="15" fillId="0" borderId="0" xfId="0" applyFont="1"/>
    <xf numFmtId="0" fontId="15" fillId="0" borderId="20" xfId="0" applyFont="1" applyBorder="1"/>
    <xf numFmtId="0" fontId="2" fillId="2" borderId="20" xfId="0" applyFont="1" applyFill="1" applyBorder="1"/>
    <xf numFmtId="0" fontId="0" fillId="3" borderId="20" xfId="0" applyFill="1" applyBorder="1"/>
    <xf numFmtId="0" fontId="0" fillId="4" borderId="1" xfId="0" applyFill="1" applyBorder="1"/>
    <xf numFmtId="0" fontId="0" fillId="2" borderId="20" xfId="0" applyFill="1" applyBorder="1"/>
    <xf numFmtId="0" fontId="16" fillId="0" borderId="0" xfId="0" applyFont="1" applyAlignment="1">
      <alignment horizontal="left" vertical="center"/>
    </xf>
    <xf numFmtId="0" fontId="5" fillId="10" borderId="11" xfId="0" applyFont="1" applyFill="1" applyBorder="1" applyAlignment="1">
      <alignment horizontal="left" vertical="center" indent="1"/>
    </xf>
    <xf numFmtId="0" fontId="5" fillId="10" borderId="15" xfId="0" applyFont="1" applyFill="1" applyBorder="1" applyAlignment="1">
      <alignment horizontal="left" vertical="center" indent="1"/>
    </xf>
    <xf numFmtId="0" fontId="5" fillId="11" borderId="11" xfId="0" applyFont="1" applyFill="1" applyBorder="1" applyAlignment="1">
      <alignment horizontal="left" vertical="center" indent="1"/>
    </xf>
  </cellXfs>
  <cellStyles count="2">
    <cellStyle name="Normal" xfId="0" builtinId="0"/>
    <cellStyle name="Porcentaje" xfId="1" builtinId="5"/>
  </cellStyles>
  <dxfs count="12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E3061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6FBE6D-7516-4BF0-B306-CA8F728C37E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1839512-11eb-44bd-9ae7-4e1e1f5f783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2" sqref="C12"/>
    </sheetView>
  </sheetViews>
  <sheetFormatPr baseColWidth="10" defaultColWidth="8.5703125" defaultRowHeight="15" x14ac:dyDescent="0.25"/>
  <cols>
    <col min="1" max="1" width="34.7109375" bestFit="1" customWidth="1"/>
    <col min="2" max="2" width="18.140625" bestFit="1" customWidth="1"/>
    <col min="3" max="3" width="7.42578125" bestFit="1" customWidth="1"/>
    <col min="4" max="4" width="10.140625" bestFit="1" customWidth="1"/>
    <col min="5" max="5" width="9.85546875" bestFit="1" customWidth="1"/>
    <col min="6" max="6" width="8.5703125" bestFit="1" customWidth="1"/>
    <col min="7" max="7" width="8.42578125" bestFit="1" customWidth="1"/>
    <col min="8" max="8" width="7.5703125" bestFit="1" customWidth="1"/>
    <col min="9" max="9" width="10.28515625" bestFit="1" customWidth="1"/>
    <col min="10" max="11" width="8" bestFit="1" customWidth="1"/>
    <col min="12" max="12" width="7.42578125" bestFit="1" customWidth="1"/>
    <col min="13" max="13" width="9" bestFit="1" customWidth="1"/>
    <col min="15" max="15" width="15.5703125" bestFit="1" customWidth="1"/>
  </cols>
  <sheetData>
    <row r="1" spans="1:15" ht="26.1" customHeight="1" thickBot="1" x14ac:dyDescent="0.3">
      <c r="A1" s="9" t="s">
        <v>0</v>
      </c>
      <c r="B1" s="8" t="s">
        <v>2</v>
      </c>
      <c r="C1" s="12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19</v>
      </c>
      <c r="J1" s="7" t="s">
        <v>20</v>
      </c>
      <c r="K1" s="7" t="s">
        <v>21</v>
      </c>
      <c r="L1" s="7" t="s">
        <v>22</v>
      </c>
      <c r="M1" s="8" t="s">
        <v>23</v>
      </c>
      <c r="O1" s="29" t="s">
        <v>24</v>
      </c>
    </row>
    <row r="2" spans="1:15" ht="20.100000000000001" customHeight="1" x14ac:dyDescent="0.25">
      <c r="A2" s="10" t="s">
        <v>1</v>
      </c>
      <c r="B2" s="16">
        <v>0.70699999999999996</v>
      </c>
      <c r="C2" s="13">
        <v>0.67859999999999998</v>
      </c>
      <c r="D2" s="5">
        <v>0</v>
      </c>
      <c r="E2" s="5">
        <v>0.86360000000000003</v>
      </c>
      <c r="F2" s="5">
        <v>0.78259999999999996</v>
      </c>
      <c r="G2" s="5">
        <v>0.88</v>
      </c>
      <c r="H2" s="5">
        <v>0.82350000000000001</v>
      </c>
      <c r="I2" s="5">
        <v>0.67859999999999998</v>
      </c>
      <c r="J2" s="5">
        <v>0.8095</v>
      </c>
      <c r="K2" s="5">
        <v>0.8</v>
      </c>
      <c r="L2" s="5">
        <v>0.60870000000000002</v>
      </c>
      <c r="M2" s="6">
        <v>0.85709999999999997</v>
      </c>
      <c r="O2" s="19" t="s">
        <v>25</v>
      </c>
    </row>
    <row r="3" spans="1:15" ht="20.100000000000001" customHeight="1" x14ac:dyDescent="0.25">
      <c r="A3" s="38" t="s">
        <v>3</v>
      </c>
      <c r="B3" s="17">
        <v>0.77500000000000002</v>
      </c>
      <c r="C3" s="14">
        <v>0.79200000000000004</v>
      </c>
      <c r="D3" s="1">
        <v>0.61399999999999999</v>
      </c>
      <c r="E3" s="1">
        <v>0.67900000000000005</v>
      </c>
      <c r="F3" s="1">
        <v>0.65900000000000003</v>
      </c>
      <c r="G3" s="1">
        <v>0.57799999999999996</v>
      </c>
      <c r="H3" s="1">
        <v>0.65900000000000003</v>
      </c>
      <c r="I3" s="1">
        <v>0.77900000000000003</v>
      </c>
      <c r="J3" s="1">
        <v>0.82199999999999995</v>
      </c>
      <c r="K3" s="1">
        <v>0.5</v>
      </c>
      <c r="L3" s="1" t="s">
        <v>7</v>
      </c>
      <c r="M3" s="3" t="s">
        <v>7</v>
      </c>
      <c r="O3" s="19" t="s">
        <v>25</v>
      </c>
    </row>
    <row r="4" spans="1:15" ht="20.100000000000001" customHeight="1" x14ac:dyDescent="0.25">
      <c r="A4" s="11" t="s">
        <v>4</v>
      </c>
      <c r="B4" s="17">
        <v>2E-3</v>
      </c>
      <c r="C4" s="14">
        <v>3.0000000000000001E-3</v>
      </c>
      <c r="D4" s="1">
        <v>3.0000000000000001E-3</v>
      </c>
      <c r="E4" s="1">
        <v>2E-3</v>
      </c>
      <c r="F4" s="1">
        <v>2E-3</v>
      </c>
      <c r="G4" s="1">
        <v>3.0000000000000001E-3</v>
      </c>
      <c r="H4" s="1">
        <v>2E-3</v>
      </c>
      <c r="I4" s="1">
        <v>5.0000000000000001E-3</v>
      </c>
      <c r="J4" s="1">
        <v>2E-3</v>
      </c>
      <c r="K4" s="1">
        <v>2E-3</v>
      </c>
      <c r="L4" s="1">
        <v>1E-3</v>
      </c>
      <c r="M4" s="3">
        <v>1E-3</v>
      </c>
      <c r="O4" s="19" t="s">
        <v>26</v>
      </c>
    </row>
    <row r="5" spans="1:15" ht="20.100000000000001" customHeight="1" x14ac:dyDescent="0.25">
      <c r="A5" s="40" t="s">
        <v>12</v>
      </c>
      <c r="B5" s="18">
        <v>3</v>
      </c>
      <c r="C5" s="15">
        <v>3</v>
      </c>
      <c r="D5" s="2">
        <v>0</v>
      </c>
      <c r="E5" s="2">
        <v>3</v>
      </c>
      <c r="F5" s="2">
        <v>8</v>
      </c>
      <c r="G5" s="2">
        <v>2</v>
      </c>
      <c r="H5" s="2">
        <v>15</v>
      </c>
      <c r="I5" s="2">
        <v>15</v>
      </c>
      <c r="J5" s="2">
        <v>4</v>
      </c>
      <c r="K5" s="2">
        <v>3</v>
      </c>
      <c r="L5" s="2">
        <v>2</v>
      </c>
      <c r="M5" s="4">
        <v>9</v>
      </c>
      <c r="O5" s="19" t="s">
        <v>26</v>
      </c>
    </row>
    <row r="6" spans="1:15" ht="20.100000000000001" customHeight="1" x14ac:dyDescent="0.25">
      <c r="A6" s="11" t="s">
        <v>9</v>
      </c>
      <c r="B6" s="17">
        <v>0.58599999999999997</v>
      </c>
      <c r="C6" s="14">
        <v>0.66</v>
      </c>
      <c r="D6" s="1">
        <v>0.80600000000000005</v>
      </c>
      <c r="E6" s="1">
        <v>0.42499999999999999</v>
      </c>
      <c r="F6" s="1">
        <v>0.81200000000000006</v>
      </c>
      <c r="G6" s="1">
        <v>0.45300000000000001</v>
      </c>
      <c r="H6" s="1">
        <v>0.53200000000000003</v>
      </c>
      <c r="I6" s="1">
        <v>0.83899999999999997</v>
      </c>
      <c r="J6" s="1">
        <v>0.88400000000000001</v>
      </c>
      <c r="K6" s="1">
        <v>0.71399999999999997</v>
      </c>
      <c r="L6" s="1">
        <v>0.10299999999999999</v>
      </c>
      <c r="M6" s="3">
        <v>0.217</v>
      </c>
      <c r="O6" s="19" t="s">
        <v>26</v>
      </c>
    </row>
    <row r="7" spans="1:15" ht="20.100000000000001" customHeight="1" x14ac:dyDescent="0.25">
      <c r="A7" s="11" t="s">
        <v>5</v>
      </c>
      <c r="B7" s="17">
        <v>0.111</v>
      </c>
      <c r="C7" s="14">
        <v>0.13500000000000001</v>
      </c>
      <c r="D7" s="1">
        <v>0.224</v>
      </c>
      <c r="E7" s="1">
        <v>2.9000000000000001E-2</v>
      </c>
      <c r="F7" s="1">
        <v>8.5000000000000006E-2</v>
      </c>
      <c r="G7" s="1">
        <v>4.1000000000000002E-2</v>
      </c>
      <c r="H7" s="1">
        <v>9.9000000000000005E-2</v>
      </c>
      <c r="I7" s="1">
        <v>0.154</v>
      </c>
      <c r="J7" s="1">
        <v>0.21</v>
      </c>
      <c r="K7" s="1">
        <v>0.20300000000000001</v>
      </c>
      <c r="L7" s="1">
        <v>0</v>
      </c>
      <c r="M7" s="3">
        <v>4.2999999999999997E-2</v>
      </c>
      <c r="O7" s="19" t="s">
        <v>26</v>
      </c>
    </row>
    <row r="8" spans="1:15" ht="20.100000000000001" customHeight="1" x14ac:dyDescent="0.25">
      <c r="A8" s="11" t="s">
        <v>11</v>
      </c>
      <c r="B8" s="17">
        <v>7.5999999999999998E-2</v>
      </c>
      <c r="C8" s="14">
        <v>0.111</v>
      </c>
      <c r="D8" s="1">
        <v>4.9000000000000002E-2</v>
      </c>
      <c r="E8" s="1">
        <v>0.11899999999999999</v>
      </c>
      <c r="F8" s="1">
        <v>0.17499999999999999</v>
      </c>
      <c r="G8" s="1">
        <v>0</v>
      </c>
      <c r="H8" s="1">
        <v>4.5999999999999999E-2</v>
      </c>
      <c r="I8" s="1">
        <v>0.11600000000000001</v>
      </c>
      <c r="J8" s="1">
        <v>0.14399999999999999</v>
      </c>
      <c r="K8" s="1">
        <v>0</v>
      </c>
      <c r="L8" s="1">
        <v>0</v>
      </c>
      <c r="M8" s="3">
        <v>7.4999999999999997E-2</v>
      </c>
      <c r="O8" s="19" t="s">
        <v>26</v>
      </c>
    </row>
    <row r="9" spans="1:15" ht="20.100000000000001" customHeight="1" x14ac:dyDescent="0.25">
      <c r="A9" s="11" t="s">
        <v>10</v>
      </c>
      <c r="B9" s="17">
        <v>0.23100000000000001</v>
      </c>
      <c r="C9" s="14">
        <v>0.39</v>
      </c>
      <c r="D9" s="1">
        <v>0.376</v>
      </c>
      <c r="E9" s="1">
        <v>0.26700000000000002</v>
      </c>
      <c r="F9" s="1">
        <v>0</v>
      </c>
      <c r="G9" s="1">
        <v>0.16400000000000001</v>
      </c>
      <c r="H9" s="1">
        <v>0.33500000000000002</v>
      </c>
      <c r="I9" s="1">
        <v>0</v>
      </c>
      <c r="J9" s="1">
        <v>0.34799999999999998</v>
      </c>
      <c r="K9" s="1">
        <v>0.39</v>
      </c>
      <c r="L9" s="1">
        <v>0.105</v>
      </c>
      <c r="M9" s="3">
        <v>0.161</v>
      </c>
      <c r="O9" s="19" t="s">
        <v>26</v>
      </c>
    </row>
    <row r="10" spans="1:15" ht="20.100000000000001" customHeight="1" x14ac:dyDescent="0.25">
      <c r="A10" s="11" t="s">
        <v>8</v>
      </c>
      <c r="B10" s="17">
        <v>0.73599999999999999</v>
      </c>
      <c r="C10" s="14">
        <v>0.95699999999999996</v>
      </c>
      <c r="D10" s="1">
        <v>1.2050000000000001</v>
      </c>
      <c r="E10" s="1">
        <v>0.6</v>
      </c>
      <c r="F10" s="1">
        <v>1.149</v>
      </c>
      <c r="G10" s="1">
        <v>0.71799999999999997</v>
      </c>
      <c r="H10" s="1">
        <v>0.77</v>
      </c>
      <c r="I10" s="1">
        <v>1.1579999999999999</v>
      </c>
      <c r="J10" s="1">
        <v>0</v>
      </c>
      <c r="K10" s="1">
        <v>1.111</v>
      </c>
      <c r="L10" s="1">
        <v>0.13200000000000001</v>
      </c>
      <c r="M10" s="3">
        <v>0.29099999999999998</v>
      </c>
      <c r="O10" s="19" t="s">
        <v>26</v>
      </c>
    </row>
    <row r="11" spans="1:15" ht="20.100000000000001" customHeight="1" thickBot="1" x14ac:dyDescent="0.3">
      <c r="A11" s="39" t="s">
        <v>6</v>
      </c>
      <c r="B11" s="20">
        <v>0.9</v>
      </c>
      <c r="C11" s="21">
        <v>0.75</v>
      </c>
      <c r="D11" s="22">
        <v>0.88</v>
      </c>
      <c r="E11" s="22">
        <v>0.86</v>
      </c>
      <c r="F11" s="22">
        <v>0.65</v>
      </c>
      <c r="G11" s="22">
        <v>0.61</v>
      </c>
      <c r="H11" s="22">
        <v>0.64</v>
      </c>
      <c r="I11" s="22">
        <v>0.85</v>
      </c>
      <c r="J11" s="22">
        <v>0.76</v>
      </c>
      <c r="K11" s="22">
        <v>0.92</v>
      </c>
      <c r="L11" s="22">
        <v>0.65</v>
      </c>
      <c r="M11" s="23">
        <v>0.71</v>
      </c>
      <c r="O11" s="19" t="s">
        <v>25</v>
      </c>
    </row>
    <row r="12" spans="1:15" ht="21.95" customHeight="1" thickBot="1" x14ac:dyDescent="0.3">
      <c r="A12" s="25" t="s">
        <v>27</v>
      </c>
      <c r="B12" s="26"/>
      <c r="C12" s="27" cm="1">
        <f t="array" ref="C12">SUMPRODUCT((ISNUMBER(C2:C11))*(($O$2:$O$11="Mayor")*(C2:C11&gt;=$B$2:$B$11)+($O$2:$O$11="Menor")*(C2:C11&lt;=$B$2:$B$11)))/SUMPRODUCT(--ISNUMBER(C2:C11))</f>
        <v>0.2</v>
      </c>
      <c r="D12" s="27" cm="1">
        <f t="array" ref="D12">SUMPRODUCT((ISNUMBER(D2:D11))*(($O$2:$O$11="Mayor")*(D2:D11&gt;=$B$2:$B$11)+($O$2:$O$11="Menor")*(D2:D11&lt;=$B$2:$B$11)))/SUMPRODUCT(--ISNUMBER(D2:D11))</f>
        <v>0.2</v>
      </c>
      <c r="E12" s="27" cm="1">
        <f t="array" ref="E12">SUMPRODUCT((ISNUMBER(E2:E11))*(($O$2:$O$11="Mayor")*(E2:E11&gt;=$B$2:$B$11)+($O$2:$O$11="Menor")*(E2:E11&lt;=$B$2:$B$11)))/SUMPRODUCT(--ISNUMBER(E2:E11))</f>
        <v>0.6</v>
      </c>
      <c r="F12" s="27" cm="1">
        <f t="array" ref="F12">SUMPRODUCT((ISNUMBER(F2:F11))*(($O$2:$O$11="Mayor")*(F2:F11&gt;=$B$2:$B$11)+($O$2:$O$11="Menor")*(F2:F11&lt;=$B$2:$B$11)))/SUMPRODUCT(--ISNUMBER(F2:F11))</f>
        <v>0.4</v>
      </c>
      <c r="G12" s="27" cm="1">
        <f t="array" ref="G12">SUMPRODUCT((ISNUMBER(G2:G11))*(($O$2:$O$11="Mayor")*(G2:G11&gt;=$B$2:$B$11)+($O$2:$O$11="Menor")*(G2:G11&lt;=$B$2:$B$11)))/SUMPRODUCT(--ISNUMBER(G2:G11))</f>
        <v>0.7</v>
      </c>
      <c r="H12" s="27" cm="1">
        <f t="array" ref="H12">SUMPRODUCT((ISNUMBER(H2:H11))*(($O$2:$O$11="Mayor")*(H2:H11&gt;=$B$2:$B$11)+($O$2:$O$11="Menor")*(H2:H11&lt;=$B$2:$B$11)))/SUMPRODUCT(--ISNUMBER(H2:H11))</f>
        <v>0.5</v>
      </c>
      <c r="I12" s="27" cm="1">
        <f t="array" ref="I12">SUMPRODUCT((ISNUMBER(I2:I11))*(($O$2:$O$11="Mayor")*(I2:I11&gt;=$B$2:$B$11)+($O$2:$O$11="Menor")*(I2:I11&lt;=$B$2:$B$11)))/SUMPRODUCT(--ISNUMBER(I2:I11))</f>
        <v>0.2</v>
      </c>
      <c r="J12" s="27" cm="1">
        <f t="array" ref="J12">SUMPRODUCT((ISNUMBER(J2:J11))*(($O$2:$O$11="Mayor")*(J2:J11&gt;=$B$2:$B$11)+($O$2:$O$11="Menor")*(J2:J11&lt;=$B$2:$B$11)))/SUMPRODUCT(--ISNUMBER(J2:J11))</f>
        <v>0.4</v>
      </c>
      <c r="K12" s="27" cm="1">
        <f t="array" ref="K12">SUMPRODUCT((ISNUMBER(K2:K11))*(($O$2:$O$11="Mayor")*(K2:K11&gt;=$B$2:$B$11)+($O$2:$O$11="Menor")*(K2:K11&lt;=$B$2:$B$11)))/SUMPRODUCT(--ISNUMBER(K2:K11))</f>
        <v>0.5</v>
      </c>
      <c r="L12" s="27" cm="1">
        <f t="array" ref="L12">SUMPRODUCT((ISNUMBER(L2:L11))*(($O$2:$O$11="Mayor")*(L2:L11&gt;=$B$2:$B$11)+($O$2:$O$11="Menor")*(L2:L11&lt;=$B$2:$B$11)))/SUMPRODUCT(--ISNUMBER(L2:L11))</f>
        <v>0.77777777777777779</v>
      </c>
      <c r="M12" s="28" cm="1">
        <f t="array" ref="M12">SUMPRODUCT((ISNUMBER(M2:M11))*(($O$2:$O$11="Mayor")*(M2:M11&gt;=$B$2:$B$11)+($O$2:$O$11="Menor")*(M2:M11&lt;=$B$2:$B$11)))/SUMPRODUCT(--ISNUMBER(M2:M11))</f>
        <v>0.77777777777777779</v>
      </c>
    </row>
    <row r="13" spans="1:15" x14ac:dyDescent="0.25">
      <c r="A13" s="24"/>
    </row>
    <row r="14" spans="1:15" x14ac:dyDescent="0.25">
      <c r="A14" s="30" t="s">
        <v>34</v>
      </c>
    </row>
    <row r="15" spans="1:15" x14ac:dyDescent="0.25">
      <c r="A15" s="32"/>
    </row>
    <row r="16" spans="1:15" x14ac:dyDescent="0.25">
      <c r="A16" s="33"/>
      <c r="B16" s="37" t="s">
        <v>28</v>
      </c>
    </row>
    <row r="17" spans="1:2" x14ac:dyDescent="0.25">
      <c r="A17" s="34"/>
      <c r="B17" s="37" t="s">
        <v>33</v>
      </c>
    </row>
    <row r="18" spans="1:2" x14ac:dyDescent="0.25">
      <c r="A18" s="35"/>
      <c r="B18" s="37" t="s">
        <v>29</v>
      </c>
    </row>
    <row r="19" spans="1:2" x14ac:dyDescent="0.25">
      <c r="A19" s="31" t="s">
        <v>27</v>
      </c>
      <c r="B19" s="37"/>
    </row>
    <row r="20" spans="1:2" x14ac:dyDescent="0.25">
      <c r="A20" s="36"/>
      <c r="B20" s="37" t="s">
        <v>30</v>
      </c>
    </row>
    <row r="21" spans="1:2" x14ac:dyDescent="0.25">
      <c r="A21" s="34"/>
      <c r="B21" s="37" t="s">
        <v>31</v>
      </c>
    </row>
    <row r="22" spans="1:2" x14ac:dyDescent="0.25">
      <c r="A22" s="35"/>
      <c r="B22" s="37" t="s">
        <v>32</v>
      </c>
    </row>
  </sheetData>
  <conditionalFormatting sqref="C2:M3">
    <cfRule type="expression" dxfId="11" priority="1">
      <formula>AND(ISNUMBER(C2),C2&gt;=$B2)</formula>
    </cfRule>
    <cfRule type="expression" dxfId="10" priority="2">
      <formula>AND(ISNUMBER(C2),C2&gt;=$B2*0.9,C2&lt;$B2)</formula>
    </cfRule>
    <cfRule type="expression" dxfId="9" priority="3">
      <formula>AND(ISNUMBER(C2),C2&lt;$B2*0.9)</formula>
    </cfRule>
  </conditionalFormatting>
  <conditionalFormatting sqref="C4:M10">
    <cfRule type="expression" dxfId="8" priority="7">
      <formula>AND(ISNUMBER(C4),C4&lt;=$B4)</formula>
    </cfRule>
    <cfRule type="expression" dxfId="7" priority="8">
      <formula>AND(ISNUMBER(C4),C4&gt;$B4,C4&lt;=$B4*1.1)</formula>
    </cfRule>
    <cfRule type="expression" dxfId="6" priority="9">
      <formula>AND(ISNUMBER(C4),C4&gt;$B4*1.1)</formula>
    </cfRule>
  </conditionalFormatting>
  <conditionalFormatting sqref="C11:M11">
    <cfRule type="expression" dxfId="5" priority="28">
      <formula>AND(ISNUMBER(C11),C11&gt;=$B11)</formula>
    </cfRule>
    <cfRule type="expression" dxfId="4" priority="30">
      <formula>AND(ISNUMBER(C11),C11&lt;$B11*0.9)</formula>
    </cfRule>
    <cfRule type="expression" dxfId="3" priority="29">
      <formula>AND(ISNUMBER(C11),C11&gt;=$B11*0.9,C11&lt;$B11)</formula>
    </cfRule>
  </conditionalFormatting>
  <conditionalFormatting sqref="C12:M12">
    <cfRule type="expression" dxfId="2" priority="32">
      <formula>AND(C12&gt;=0.6,C12&lt;0.8)</formula>
    </cfRule>
    <cfRule type="expression" dxfId="1" priority="33">
      <formula>C12&lt;0.6</formula>
    </cfRule>
    <cfRule type="expression" dxfId="0" priority="31">
      <formula>C12&gt;=0.8</formula>
    </cfRule>
  </conditionalFormatting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&amp;C_x000D_&amp;1#&amp;"Aptos"&amp;10&amp;K000000 OXXO | Uso Interno</oddFooter>
  </headerFooter>
  <legacyDrawing r:id="rId1"/>
</worksheet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Asesores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Angel de Jesus Franco Gijon</cp:lastModifiedBy>
  <cp:revision>0</cp:revision>
  <dcterms:created xsi:type="dcterms:W3CDTF">2026-07-11T17:23:56Z</dcterms:created>
  <dcterms:modified xsi:type="dcterms:W3CDTF">2026-07-27T17:59:49Z</dcterms:modified>
  <dc:language>en-US</dc:language>
</cp:coreProperties>
</file>